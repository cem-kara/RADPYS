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Python Program\REPYS-main\RADPYS\data\belgeler\"/>
    </mc:Choice>
  </mc:AlternateContent>
  <xr:revisionPtr revIDLastSave="0" documentId="13_ncr:1_{BBF887E3-E4FD-41C4-ACCF-FF29AB006F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2" sheetId="1" r:id="rId1"/>
    <sheet name="Sayfa1" sheetId="3" r:id="rId2"/>
    <sheet name="202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2" i="1"/>
  <c r="H20" i="1"/>
  <c r="H18" i="1"/>
  <c r="H16" i="1"/>
  <c r="H14" i="1"/>
  <c r="H12" i="1"/>
  <c r="H10" i="1"/>
  <c r="H8" i="1"/>
  <c r="H6" i="1"/>
  <c r="H4" i="1"/>
  <c r="H2" i="1"/>
  <c r="F24" i="1"/>
  <c r="F22" i="1"/>
  <c r="F20" i="1"/>
  <c r="F18" i="1"/>
  <c r="F16" i="1"/>
  <c r="F14" i="1"/>
  <c r="F12" i="1"/>
  <c r="F10" i="1"/>
  <c r="F8" i="1"/>
  <c r="F6" i="1"/>
  <c r="F4" i="1"/>
  <c r="F2" i="1"/>
  <c r="F29" i="1"/>
  <c r="F2" i="3" l="1"/>
  <c r="G2" i="3" s="1"/>
  <c r="I2" i="3"/>
  <c r="I26" i="2"/>
  <c r="F8" i="2" l="1"/>
  <c r="H26" i="2"/>
  <c r="J26" i="2" s="1"/>
  <c r="F4" i="2"/>
  <c r="F6" i="2"/>
  <c r="F10" i="2"/>
  <c r="F12" i="2"/>
  <c r="F14" i="2"/>
  <c r="F16" i="2"/>
  <c r="F18" i="2"/>
  <c r="F20" i="2"/>
  <c r="F22" i="2"/>
  <c r="F24" i="2"/>
  <c r="J24" i="2" l="1"/>
  <c r="G24" i="2"/>
  <c r="J22" i="2"/>
  <c r="G22" i="2"/>
  <c r="J20" i="2"/>
  <c r="G20" i="2"/>
  <c r="J18" i="2"/>
  <c r="G18" i="2"/>
  <c r="J16" i="2"/>
  <c r="G16" i="2"/>
  <c r="J14" i="2"/>
  <c r="G14" i="2"/>
  <c r="J12" i="2"/>
  <c r="G12" i="2"/>
  <c r="J10" i="2"/>
  <c r="G10" i="2"/>
  <c r="J8" i="2"/>
  <c r="G8" i="2"/>
  <c r="J6" i="2"/>
  <c r="G6" i="2"/>
  <c r="J4" i="2"/>
  <c r="G4" i="2"/>
  <c r="J2" i="2"/>
  <c r="F2" i="2"/>
  <c r="G2" i="2" s="1"/>
  <c r="G26" i="2" l="1"/>
  <c r="F26" i="2"/>
  <c r="H26" i="1"/>
  <c r="I26" i="1" s="1"/>
  <c r="I16" i="1"/>
  <c r="I18" i="1"/>
  <c r="I20" i="1"/>
  <c r="I22" i="1"/>
  <c r="I24" i="1"/>
  <c r="I2" i="1"/>
  <c r="I4" i="1"/>
  <c r="I6" i="1"/>
  <c r="I8" i="1"/>
  <c r="I10" i="1"/>
  <c r="I12" i="1"/>
  <c r="I14" i="1"/>
  <c r="G8" i="1" l="1"/>
  <c r="G24" i="1"/>
  <c r="G22" i="1"/>
  <c r="G20" i="1"/>
  <c r="G18" i="1"/>
  <c r="G14" i="1"/>
  <c r="G12" i="1"/>
  <c r="G10" i="1"/>
  <c r="G6" i="1"/>
  <c r="G4" i="1"/>
  <c r="G2" i="1" l="1"/>
  <c r="F26" i="1"/>
  <c r="G16" i="1"/>
  <c r="G26" i="1" l="1"/>
</calcChain>
</file>

<file path=xl/sharedStrings.xml><?xml version="1.0" encoding="utf-8"?>
<sst xmlns="http://schemas.openxmlformats.org/spreadsheetml/2006/main" count="116" uniqueCount="33">
  <si>
    <t>Yılbaşı</t>
  </si>
  <si>
    <t>Ulusal Egemenlik ve Çocuk Bayramı</t>
  </si>
  <si>
    <t>Emek ve Dayanışma Günü</t>
  </si>
  <si>
    <t>Ramazan Bayramı</t>
  </si>
  <si>
    <t>Atatürk'ü Anma, Gençlik ve Spor Bayramı</t>
  </si>
  <si>
    <t>Kurban Bayramı</t>
  </si>
  <si>
    <t>Demokrasi Bayramı</t>
  </si>
  <si>
    <t>Zafer Bayramı</t>
  </si>
  <si>
    <t>Cumhuriyet Bayramı</t>
  </si>
  <si>
    <t>Cumartesi</t>
  </si>
  <si>
    <t>Pazar</t>
  </si>
  <si>
    <t>Pazartesi</t>
  </si>
  <si>
    <t>Salı</t>
  </si>
  <si>
    <t>Çarşamba</t>
  </si>
  <si>
    <t>Perşembe</t>
  </si>
  <si>
    <t>AYLIK ÇALIŞMA SAYISI</t>
  </si>
  <si>
    <t>7 SAAT MESAİ ÇALIŞMA SAATİ</t>
  </si>
  <si>
    <t>12 SAAT NÖBET SAYISI</t>
  </si>
  <si>
    <t>12 SAAT MESAİ ÇALIŞMA SAATİ</t>
  </si>
  <si>
    <t>Cuma</t>
  </si>
  <si>
    <t xml:space="preserve">Cuma </t>
  </si>
  <si>
    <t xml:space="preserve">Çarşamba </t>
  </si>
  <si>
    <t>Toplam</t>
  </si>
  <si>
    <t>İdari Tatil</t>
  </si>
  <si>
    <t>24 SAAT NÖBET SAYISI</t>
  </si>
  <si>
    <t>Kurban Bayramı Arefe</t>
  </si>
  <si>
    <t>İdari İzin</t>
  </si>
  <si>
    <t>Yıllık İzin (1 gün)</t>
  </si>
  <si>
    <t>Yıllık İzin (10 gün)</t>
  </si>
  <si>
    <t>Yıllık İzin (12 gün)</t>
  </si>
  <si>
    <t>Yıllık İzin (5 gün)</t>
  </si>
  <si>
    <t>Yıllık İzin (7 gün)</t>
  </si>
  <si>
    <t>Yıllık İzin (2 gün)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</si>
</sst>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7" x14ac:knownFonts="1"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color rgb="FF111111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sz val="11"/>
      <color rgb="FF212529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0" fillId="0" borderId="0" xfId="0" applyNumberFormat="1"/>
    <xf numFmtId="14" fontId="0" fillId="0" borderId="1" xfId="0" applyNumberFormat="1" applyBorder="1"/>
    <xf numFmtId="14" fontId="0" fillId="0" borderId="4" xfId="0" applyNumberFormat="1" applyBorder="1"/>
    <xf numFmtId="0" fontId="3" fillId="0" borderId="7" xfId="0" applyFont="1" applyBorder="1"/>
    <xf numFmtId="0" fontId="0" fillId="0" borderId="12" xfId="0" applyBorder="1"/>
    <xf numFmtId="14" fontId="0" fillId="0" borderId="14" xfId="0" applyNumberFormat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4" fillId="2" borderId="7" xfId="0" applyFont="1" applyFill="1" applyBorder="1" applyAlignment="1">
      <alignment vertical="center" wrapText="1"/>
    </xf>
    <xf numFmtId="14" fontId="4" fillId="2" borderId="7" xfId="0" applyNumberFormat="1" applyFont="1" applyFill="1" applyBorder="1" applyAlignment="1">
      <alignment horizontal="left" vertical="center" wrapText="1"/>
    </xf>
    <xf numFmtId="14" fontId="5" fillId="2" borderId="7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vertical="center" wrapText="1"/>
    </xf>
    <xf numFmtId="14" fontId="0" fillId="0" borderId="10" xfId="0" applyNumberFormat="1" applyBorder="1"/>
    <xf numFmtId="14" fontId="0" fillId="0" borderId="11" xfId="0" applyNumberFormat="1" applyBorder="1"/>
    <xf numFmtId="14" fontId="5" fillId="0" borderId="7" xfId="0" applyNumberFormat="1" applyFont="1" applyBorder="1"/>
    <xf numFmtId="0" fontId="5" fillId="0" borderId="7" xfId="0" applyFont="1" applyBorder="1"/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workbookViewId="0">
      <selection activeCell="G22" sqref="G22:G23"/>
    </sheetView>
  </sheetViews>
  <sheetFormatPr defaultRowHeight="15" x14ac:dyDescent="0.25"/>
  <cols>
    <col min="1" max="1" width="10.140625" bestFit="1" customWidth="1"/>
    <col min="2" max="2" width="33.140625" style="2" bestFit="1" customWidth="1"/>
    <col min="3" max="3" width="9.42578125" style="2" bestFit="1" customWidth="1"/>
    <col min="4" max="4" width="9.7109375" bestFit="1" customWidth="1"/>
    <col min="5" max="5" width="10.140625" bestFit="1" customWidth="1"/>
    <col min="6" max="7" width="8.85546875" bestFit="1" customWidth="1"/>
    <col min="8" max="8" width="8" bestFit="1" customWidth="1"/>
    <col min="9" max="9" width="8.85546875" bestFit="1" customWidth="1"/>
    <col min="10" max="10" width="10.140625" customWidth="1"/>
  </cols>
  <sheetData>
    <row r="1" spans="1:9" ht="60.75" thickBot="1" x14ac:dyDescent="0.3">
      <c r="E1" s="10"/>
      <c r="F1" s="11" t="s">
        <v>15</v>
      </c>
      <c r="G1" s="11" t="s">
        <v>16</v>
      </c>
      <c r="H1" s="11" t="s">
        <v>17</v>
      </c>
      <c r="I1" s="11" t="s">
        <v>18</v>
      </c>
    </row>
    <row r="2" spans="1:9" ht="15.75" thickTop="1" x14ac:dyDescent="0.25">
      <c r="A2" s="1">
        <v>44562</v>
      </c>
      <c r="B2" s="3" t="s">
        <v>0</v>
      </c>
      <c r="C2" s="3" t="s">
        <v>9</v>
      </c>
      <c r="E2" s="9">
        <v>44576</v>
      </c>
      <c r="F2" s="29">
        <f>NETWORKDAYS(E2,E3,A2:A84)</f>
        <v>21</v>
      </c>
      <c r="G2" s="28">
        <f>F2*7</f>
        <v>147</v>
      </c>
      <c r="H2" s="29">
        <f>NETWORKDAYS(E2,E3,A2:A17)</f>
        <v>21</v>
      </c>
      <c r="I2" s="30">
        <f t="shared" ref="I2" si="0">H2*12</f>
        <v>252</v>
      </c>
    </row>
    <row r="3" spans="1:9" ht="15.75" thickBot="1" x14ac:dyDescent="0.3">
      <c r="A3" s="1">
        <v>44674</v>
      </c>
      <c r="B3" s="3" t="s">
        <v>1</v>
      </c>
      <c r="C3" s="3" t="s">
        <v>9</v>
      </c>
      <c r="E3" s="6">
        <v>44606</v>
      </c>
      <c r="F3" s="23"/>
      <c r="G3" s="25"/>
      <c r="H3" s="23"/>
      <c r="I3" s="27"/>
    </row>
    <row r="4" spans="1:9" x14ac:dyDescent="0.25">
      <c r="A4" s="1">
        <v>44682</v>
      </c>
      <c r="B4" s="3" t="s">
        <v>2</v>
      </c>
      <c r="C4" s="3" t="s">
        <v>10</v>
      </c>
      <c r="E4" s="5">
        <v>44607</v>
      </c>
      <c r="F4" s="29">
        <f>NETWORKDAYS(E4,E5,A2:A86)</f>
        <v>20</v>
      </c>
      <c r="G4" s="24">
        <f t="shared" ref="G4" si="1">F4*7</f>
        <v>140</v>
      </c>
      <c r="H4" s="29">
        <f>NETWORKDAYS(E4,E5,A2:A17)</f>
        <v>20</v>
      </c>
      <c r="I4" s="26">
        <f t="shared" ref="I4" si="2">H4*12</f>
        <v>240</v>
      </c>
    </row>
    <row r="5" spans="1:9" ht="15.75" thickBot="1" x14ac:dyDescent="0.3">
      <c r="A5" s="1">
        <v>44683</v>
      </c>
      <c r="B5" s="3" t="s">
        <v>3</v>
      </c>
      <c r="C5" s="3" t="s">
        <v>11</v>
      </c>
      <c r="E5" s="6">
        <v>44634</v>
      </c>
      <c r="F5" s="23"/>
      <c r="G5" s="25"/>
      <c r="H5" s="23"/>
      <c r="I5" s="27"/>
    </row>
    <row r="6" spans="1:9" x14ac:dyDescent="0.25">
      <c r="A6" s="1">
        <v>44684</v>
      </c>
      <c r="B6" s="3" t="s">
        <v>3</v>
      </c>
      <c r="C6" s="3" t="s">
        <v>12</v>
      </c>
      <c r="E6" s="5">
        <v>44635</v>
      </c>
      <c r="F6" s="29">
        <f>NETWORKDAYS(E6,E7,A2:A88)</f>
        <v>23</v>
      </c>
      <c r="G6" s="24">
        <f t="shared" ref="G6" si="3">F6*7</f>
        <v>161</v>
      </c>
      <c r="H6" s="29">
        <f>NETWORKDAYS(E6,E7,A2:A17)</f>
        <v>23</v>
      </c>
      <c r="I6" s="26">
        <f t="shared" ref="I6" si="4">H6*12</f>
        <v>276</v>
      </c>
    </row>
    <row r="7" spans="1:9" ht="15.75" thickBot="1" x14ac:dyDescent="0.3">
      <c r="A7" s="1">
        <v>44685</v>
      </c>
      <c r="B7" s="3" t="s">
        <v>3</v>
      </c>
      <c r="C7" s="3" t="s">
        <v>13</v>
      </c>
      <c r="E7" s="6">
        <v>44665</v>
      </c>
      <c r="F7" s="23"/>
      <c r="G7" s="25"/>
      <c r="H7" s="23"/>
      <c r="I7" s="27"/>
    </row>
    <row r="8" spans="1:9" x14ac:dyDescent="0.25">
      <c r="A8" s="1">
        <v>44700</v>
      </c>
      <c r="B8" s="3" t="s">
        <v>4</v>
      </c>
      <c r="C8" s="3" t="s">
        <v>14</v>
      </c>
      <c r="E8" s="5">
        <v>44677</v>
      </c>
      <c r="F8" s="29">
        <f>NETWORKDAYS(E8,E9,A2:A90)</f>
        <v>11</v>
      </c>
      <c r="G8" s="24">
        <f t="shared" ref="G8" si="5">F8*7</f>
        <v>77</v>
      </c>
      <c r="H8" s="29">
        <f>NETWORKDAYS(E8,E9,A2:A17)</f>
        <v>11</v>
      </c>
      <c r="I8" s="26">
        <f t="shared" ref="I8" si="6">H8*12</f>
        <v>132</v>
      </c>
    </row>
    <row r="9" spans="1:9" ht="15.75" thickBot="1" x14ac:dyDescent="0.3">
      <c r="A9" s="1">
        <v>44751</v>
      </c>
      <c r="B9" s="3" t="s">
        <v>5</v>
      </c>
      <c r="C9" s="3" t="s">
        <v>9</v>
      </c>
      <c r="E9" s="6">
        <v>44695</v>
      </c>
      <c r="F9" s="23"/>
      <c r="G9" s="25"/>
      <c r="H9" s="23"/>
      <c r="I9" s="27"/>
    </row>
    <row r="10" spans="1:9" x14ac:dyDescent="0.25">
      <c r="A10" s="1">
        <v>44752</v>
      </c>
      <c r="B10" s="3" t="s">
        <v>5</v>
      </c>
      <c r="C10" s="3" t="s">
        <v>10</v>
      </c>
      <c r="E10" s="5">
        <v>44696</v>
      </c>
      <c r="F10" s="29">
        <f>NETWORKDAYS(E10,E11,A2:A92)</f>
        <v>21</v>
      </c>
      <c r="G10" s="24">
        <f t="shared" ref="G10" si="7">F10*7</f>
        <v>147</v>
      </c>
      <c r="H10" s="29">
        <f>NETWORKDAYS(E10,E11,A2:A17)</f>
        <v>21</v>
      </c>
      <c r="I10" s="26">
        <f t="shared" ref="I10" si="8">H10*12</f>
        <v>252</v>
      </c>
    </row>
    <row r="11" spans="1:9" ht="15.75" thickBot="1" x14ac:dyDescent="0.3">
      <c r="A11" s="1">
        <v>44753</v>
      </c>
      <c r="B11" s="3" t="s">
        <v>5</v>
      </c>
      <c r="C11" s="3" t="s">
        <v>11</v>
      </c>
      <c r="E11" s="6">
        <v>44726</v>
      </c>
      <c r="F11" s="23"/>
      <c r="G11" s="25"/>
      <c r="H11" s="23"/>
      <c r="I11" s="27"/>
    </row>
    <row r="12" spans="1:9" x14ac:dyDescent="0.25">
      <c r="A12" s="1">
        <v>44754</v>
      </c>
      <c r="B12" s="3" t="s">
        <v>5</v>
      </c>
      <c r="C12" s="3" t="s">
        <v>12</v>
      </c>
      <c r="E12" s="5">
        <v>44727</v>
      </c>
      <c r="F12" s="29">
        <f>NETWORKDAYS(E12,E13,A2:A94)</f>
        <v>18</v>
      </c>
      <c r="G12" s="24">
        <f t="shared" ref="G12" si="9">F12*7</f>
        <v>126</v>
      </c>
      <c r="H12" s="29">
        <f>NETWORKDAYS(E12,E13,A2:A17)</f>
        <v>18</v>
      </c>
      <c r="I12" s="26">
        <f t="shared" ref="I12" si="10">H12*12</f>
        <v>216</v>
      </c>
    </row>
    <row r="13" spans="1:9" ht="15.75" thickBot="1" x14ac:dyDescent="0.3">
      <c r="A13" s="1">
        <v>44757</v>
      </c>
      <c r="B13" s="3" t="s">
        <v>6</v>
      </c>
      <c r="C13" s="3" t="s">
        <v>9</v>
      </c>
      <c r="D13" s="4"/>
      <c r="E13" s="6">
        <v>44756</v>
      </c>
      <c r="F13" s="23"/>
      <c r="G13" s="25"/>
      <c r="H13" s="23"/>
      <c r="I13" s="27"/>
    </row>
    <row r="14" spans="1:9" x14ac:dyDescent="0.25">
      <c r="A14" s="1">
        <v>44803</v>
      </c>
      <c r="B14" s="3" t="s">
        <v>7</v>
      </c>
      <c r="C14" s="3" t="s">
        <v>12</v>
      </c>
      <c r="E14" s="5">
        <v>44757</v>
      </c>
      <c r="F14" s="29">
        <f>NETWORKDAYS(E14,E15,A2:A96)</f>
        <v>20</v>
      </c>
      <c r="G14" s="24">
        <f t="shared" ref="G14" si="11">F14*7</f>
        <v>140</v>
      </c>
      <c r="H14" s="29">
        <f>NETWORKDAYS(E14,E15,A2:A17)</f>
        <v>20</v>
      </c>
      <c r="I14" s="26">
        <f>H14*12</f>
        <v>240</v>
      </c>
    </row>
    <row r="15" spans="1:9" ht="15.75" thickBot="1" x14ac:dyDescent="0.3">
      <c r="A15" s="1">
        <v>44863</v>
      </c>
      <c r="B15" s="3" t="s">
        <v>8</v>
      </c>
      <c r="C15" s="3" t="s">
        <v>9</v>
      </c>
      <c r="E15" s="6">
        <v>44787</v>
      </c>
      <c r="F15" s="23"/>
      <c r="G15" s="25"/>
      <c r="H15" s="23"/>
      <c r="I15" s="27"/>
    </row>
    <row r="16" spans="1:9" x14ac:dyDescent="0.25">
      <c r="A16" s="1">
        <v>44755</v>
      </c>
      <c r="B16" s="2" t="s">
        <v>23</v>
      </c>
      <c r="C16" s="2" t="s">
        <v>13</v>
      </c>
      <c r="E16" s="5">
        <v>44788</v>
      </c>
      <c r="F16" s="29">
        <f>NETWORKDAYS(E16,E17,A2:A98)</f>
        <v>22</v>
      </c>
      <c r="G16" s="24">
        <f t="shared" ref="G16" si="12">F16*7</f>
        <v>154</v>
      </c>
      <c r="H16" s="29">
        <f>NETWORKDAYS(E16,E17,A2:A17)</f>
        <v>22</v>
      </c>
      <c r="I16" s="26">
        <f t="shared" ref="I16" si="13">H16*12</f>
        <v>264</v>
      </c>
    </row>
    <row r="17" spans="1:9" ht="15.75" thickBot="1" x14ac:dyDescent="0.3">
      <c r="A17" s="1">
        <v>44756</v>
      </c>
      <c r="B17" s="2" t="s">
        <v>23</v>
      </c>
      <c r="C17" s="2" t="s">
        <v>14</v>
      </c>
      <c r="E17" s="6">
        <v>44818</v>
      </c>
      <c r="F17" s="23"/>
      <c r="G17" s="25"/>
      <c r="H17" s="23"/>
      <c r="I17" s="27"/>
    </row>
    <row r="18" spans="1:9" x14ac:dyDescent="0.25">
      <c r="A18" s="1"/>
      <c r="E18" s="5">
        <v>44819</v>
      </c>
      <c r="F18" s="29">
        <f>NETWORKDAYS(E18,E19,A2:A100)</f>
        <v>22</v>
      </c>
      <c r="G18" s="24">
        <f t="shared" ref="G18" si="14">F18*7</f>
        <v>154</v>
      </c>
      <c r="H18" s="29">
        <f>NETWORKDAYS(E18,E19,A2:A17)</f>
        <v>22</v>
      </c>
      <c r="I18" s="26">
        <f t="shared" ref="I18" si="15">H18*12</f>
        <v>264</v>
      </c>
    </row>
    <row r="19" spans="1:9" ht="15.75" thickBot="1" x14ac:dyDescent="0.3">
      <c r="A19" s="1"/>
      <c r="E19" s="6">
        <v>44848</v>
      </c>
      <c r="F19" s="23"/>
      <c r="G19" s="25"/>
      <c r="H19" s="23"/>
      <c r="I19" s="27"/>
    </row>
    <row r="20" spans="1:9" x14ac:dyDescent="0.25">
      <c r="A20" s="1"/>
      <c r="E20" s="5">
        <v>44849</v>
      </c>
      <c r="F20" s="29">
        <f>NETWORKDAYS(E20,E21,A2:A102)</f>
        <v>21</v>
      </c>
      <c r="G20" s="24">
        <f t="shared" ref="G20" si="16">F20*7</f>
        <v>147</v>
      </c>
      <c r="H20" s="29">
        <f>NETWORKDAYS(E20,E21,A2:A17)</f>
        <v>21</v>
      </c>
      <c r="I20" s="26">
        <f t="shared" ref="I20" si="17">H20*12</f>
        <v>252</v>
      </c>
    </row>
    <row r="21" spans="1:9" ht="15.75" thickBot="1" x14ac:dyDescent="0.3">
      <c r="A21" s="1"/>
      <c r="E21" s="6">
        <v>44879</v>
      </c>
      <c r="F21" s="23"/>
      <c r="G21" s="25"/>
      <c r="H21" s="23"/>
      <c r="I21" s="27"/>
    </row>
    <row r="22" spans="1:9" x14ac:dyDescent="0.25">
      <c r="A22" s="1"/>
      <c r="E22" s="5">
        <v>44880</v>
      </c>
      <c r="F22" s="29">
        <f>NETWORKDAYS(E22,E23,A2:A104)</f>
        <v>22</v>
      </c>
      <c r="G22" s="24">
        <f t="shared" ref="G22" si="18">F22*7</f>
        <v>154</v>
      </c>
      <c r="H22" s="29">
        <f>NETWORKDAYS(E22,E23,A2:A17)</f>
        <v>22</v>
      </c>
      <c r="I22" s="26">
        <f t="shared" ref="I22" si="19">H22*12</f>
        <v>264</v>
      </c>
    </row>
    <row r="23" spans="1:9" ht="15.75" thickBot="1" x14ac:dyDescent="0.3">
      <c r="A23" s="1"/>
      <c r="E23" s="6">
        <v>44909</v>
      </c>
      <c r="F23" s="23"/>
      <c r="G23" s="25"/>
      <c r="H23" s="23"/>
      <c r="I23" s="27"/>
    </row>
    <row r="24" spans="1:9" x14ac:dyDescent="0.25">
      <c r="A24" s="1"/>
      <c r="E24" s="5">
        <v>44910</v>
      </c>
      <c r="F24" s="29">
        <f>NETWORKDAYS(E24,E25,A2:A106)</f>
        <v>22</v>
      </c>
      <c r="G24" s="24">
        <f t="shared" ref="G24" si="20">F24*7</f>
        <v>154</v>
      </c>
      <c r="H24" s="29">
        <f>NETWORKDAYS(E24,E25,A2:A17)</f>
        <v>22</v>
      </c>
      <c r="I24" s="26">
        <f t="shared" ref="I24" si="21">H24*12</f>
        <v>264</v>
      </c>
    </row>
    <row r="25" spans="1:9" ht="15.75" thickBot="1" x14ac:dyDescent="0.3">
      <c r="A25" s="1"/>
      <c r="E25" s="6">
        <v>44940</v>
      </c>
      <c r="F25" s="23"/>
      <c r="G25" s="25"/>
      <c r="H25" s="23"/>
      <c r="I25" s="27"/>
    </row>
    <row r="26" spans="1:9" x14ac:dyDescent="0.25">
      <c r="A26" s="1"/>
      <c r="E26" s="5"/>
      <c r="F26" s="22">
        <f>SUM(F2:F25)</f>
        <v>243</v>
      </c>
      <c r="G26" s="22">
        <f>SUM(G2:G25)</f>
        <v>1701</v>
      </c>
      <c r="H26" s="24">
        <f>SUM(H2:H25)</f>
        <v>243</v>
      </c>
      <c r="I26" s="26">
        <f>H26*12</f>
        <v>2916</v>
      </c>
    </row>
    <row r="27" spans="1:9" ht="15.75" thickBot="1" x14ac:dyDescent="0.3">
      <c r="A27" s="1"/>
      <c r="E27" s="6"/>
      <c r="F27" s="23"/>
      <c r="G27" s="23"/>
      <c r="H27" s="25"/>
      <c r="I27" s="27"/>
    </row>
    <row r="28" spans="1:9" x14ac:dyDescent="0.25">
      <c r="A28" s="1"/>
    </row>
    <row r="29" spans="1:9" x14ac:dyDescent="0.25">
      <c r="A29" s="1"/>
      <c r="F29">
        <f>250*7</f>
        <v>1750</v>
      </c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</sheetData>
  <mergeCells count="52">
    <mergeCell ref="F22:F23"/>
    <mergeCell ref="F24:F25"/>
    <mergeCell ref="F26:F27"/>
    <mergeCell ref="F12:F13"/>
    <mergeCell ref="F14:F15"/>
    <mergeCell ref="F16:F17"/>
    <mergeCell ref="F18:F19"/>
    <mergeCell ref="F20:F21"/>
    <mergeCell ref="F2:F3"/>
    <mergeCell ref="F4:F5"/>
    <mergeCell ref="F6:F7"/>
    <mergeCell ref="F8:F9"/>
    <mergeCell ref="F10:F11"/>
    <mergeCell ref="I22:I23"/>
    <mergeCell ref="I24:I25"/>
    <mergeCell ref="G26:G27"/>
    <mergeCell ref="H26:H27"/>
    <mergeCell ref="I26:I27"/>
    <mergeCell ref="H22:H23"/>
    <mergeCell ref="H24:H25"/>
    <mergeCell ref="G22:G23"/>
    <mergeCell ref="G24:G25"/>
    <mergeCell ref="I12:I13"/>
    <mergeCell ref="I14:I15"/>
    <mergeCell ref="I16:I17"/>
    <mergeCell ref="I18:I19"/>
    <mergeCell ref="I20:I21"/>
    <mergeCell ref="I2:I3"/>
    <mergeCell ref="I4:I5"/>
    <mergeCell ref="I6:I7"/>
    <mergeCell ref="I8:I9"/>
    <mergeCell ref="I10:I1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G12:G13"/>
    <mergeCell ref="G14:G15"/>
    <mergeCell ref="G16:G17"/>
    <mergeCell ref="G18:G19"/>
    <mergeCell ref="G20:G21"/>
    <mergeCell ref="G4:G5"/>
    <mergeCell ref="G2:G3"/>
    <mergeCell ref="G6:G7"/>
    <mergeCell ref="G8:G9"/>
    <mergeCell ref="G10:G11"/>
  </mergeCells>
  <pageMargins left="0.7" right="0.7" top="0.75" bottom="0.75" header="0.3" footer="0.3"/>
  <pageSetup paperSize="9" orientation="portrait" r:id="rId1"/>
  <ignoredErrors>
    <ignoredError sqref="H2 H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73AD-F34B-49C4-86CE-1EF6A078DA85}">
  <dimension ref="A1:I54"/>
  <sheetViews>
    <sheetView workbookViewId="0">
      <selection activeCell="A2" sqref="A2:C54"/>
    </sheetView>
  </sheetViews>
  <sheetFormatPr defaultRowHeight="15" x14ac:dyDescent="0.25"/>
  <cols>
    <col min="1" max="1" width="10.140625" bestFit="1" customWidth="1"/>
    <col min="2" max="2" width="33.140625" bestFit="1" customWidth="1"/>
    <col min="5" max="5" width="10.140625" bestFit="1" customWidth="1"/>
  </cols>
  <sheetData>
    <row r="1" spans="1:9" ht="60.75" thickBot="1" x14ac:dyDescent="0.3">
      <c r="B1" s="2"/>
      <c r="C1" s="2"/>
      <c r="E1" s="10"/>
      <c r="F1" s="11" t="s">
        <v>15</v>
      </c>
      <c r="G1" s="11" t="s">
        <v>16</v>
      </c>
      <c r="H1" s="11" t="s">
        <v>17</v>
      </c>
      <c r="I1" s="11" t="s">
        <v>18</v>
      </c>
    </row>
    <row r="2" spans="1:9" ht="15.75" thickTop="1" x14ac:dyDescent="0.25">
      <c r="A2" s="1">
        <v>44562</v>
      </c>
      <c r="B2" s="3" t="s">
        <v>0</v>
      </c>
      <c r="C2" s="3" t="s">
        <v>9</v>
      </c>
      <c r="E2" s="9">
        <v>44562</v>
      </c>
      <c r="F2" s="29">
        <f>NETWORKDAYS(E2,E3,A2:A200)</f>
        <v>219</v>
      </c>
      <c r="G2" s="28">
        <f>F2*7</f>
        <v>1533</v>
      </c>
      <c r="H2" s="28">
        <v>12</v>
      </c>
      <c r="I2" s="30">
        <f t="shared" ref="I2" si="0">H2*12</f>
        <v>144</v>
      </c>
    </row>
    <row r="3" spans="1:9" ht="15.75" thickBot="1" x14ac:dyDescent="0.3">
      <c r="A3" s="1">
        <v>44674</v>
      </c>
      <c r="B3" s="3" t="s">
        <v>1</v>
      </c>
      <c r="C3" s="3" t="s">
        <v>9</v>
      </c>
      <c r="E3" s="6">
        <v>44926</v>
      </c>
      <c r="F3" s="23"/>
      <c r="G3" s="25"/>
      <c r="H3" s="25"/>
      <c r="I3" s="27"/>
    </row>
    <row r="4" spans="1:9" x14ac:dyDescent="0.25">
      <c r="A4" s="1">
        <v>44682</v>
      </c>
      <c r="B4" s="3" t="s">
        <v>2</v>
      </c>
      <c r="C4" s="3" t="s">
        <v>10</v>
      </c>
      <c r="E4" s="5"/>
      <c r="F4" s="22"/>
      <c r="G4" s="24"/>
      <c r="H4" s="24"/>
      <c r="I4" s="26"/>
    </row>
    <row r="5" spans="1:9" ht="15.75" thickBot="1" x14ac:dyDescent="0.3">
      <c r="A5" s="1">
        <v>44683</v>
      </c>
      <c r="B5" s="3" t="s">
        <v>3</v>
      </c>
      <c r="C5" s="3" t="s">
        <v>11</v>
      </c>
      <c r="E5" s="6"/>
      <c r="F5" s="23"/>
      <c r="G5" s="25"/>
      <c r="H5" s="25"/>
      <c r="I5" s="27"/>
    </row>
    <row r="6" spans="1:9" x14ac:dyDescent="0.25">
      <c r="A6" s="1">
        <v>44684</v>
      </c>
      <c r="B6" s="3" t="s">
        <v>3</v>
      </c>
      <c r="C6" s="3" t="s">
        <v>12</v>
      </c>
      <c r="E6" s="5"/>
      <c r="F6" s="22"/>
      <c r="G6" s="24"/>
      <c r="H6" s="24"/>
      <c r="I6" s="26"/>
    </row>
    <row r="7" spans="1:9" ht="15.75" thickBot="1" x14ac:dyDescent="0.3">
      <c r="A7" s="1">
        <v>44685</v>
      </c>
      <c r="B7" s="3" t="s">
        <v>3</v>
      </c>
      <c r="C7" s="3" t="s">
        <v>13</v>
      </c>
      <c r="E7" s="6"/>
      <c r="F7" s="23"/>
      <c r="G7" s="25"/>
      <c r="H7" s="25"/>
      <c r="I7" s="27"/>
    </row>
    <row r="8" spans="1:9" x14ac:dyDescent="0.25">
      <c r="A8" s="1">
        <v>44700</v>
      </c>
      <c r="B8" s="3" t="s">
        <v>4</v>
      </c>
      <c r="C8" s="3" t="s">
        <v>14</v>
      </c>
      <c r="E8" s="5"/>
      <c r="F8" s="22"/>
      <c r="G8" s="24"/>
      <c r="H8" s="24"/>
      <c r="I8" s="26"/>
    </row>
    <row r="9" spans="1:9" ht="15.75" thickBot="1" x14ac:dyDescent="0.3">
      <c r="A9" s="1">
        <v>44751</v>
      </c>
      <c r="B9" s="3" t="s">
        <v>5</v>
      </c>
      <c r="C9" s="3" t="s">
        <v>9</v>
      </c>
      <c r="E9" s="6"/>
      <c r="F9" s="23"/>
      <c r="G9" s="25"/>
      <c r="H9" s="25"/>
      <c r="I9" s="27"/>
    </row>
    <row r="10" spans="1:9" x14ac:dyDescent="0.25">
      <c r="A10" s="1">
        <v>44752</v>
      </c>
      <c r="B10" s="3" t="s">
        <v>5</v>
      </c>
      <c r="C10" s="3" t="s">
        <v>10</v>
      </c>
      <c r="E10" s="5"/>
      <c r="F10" s="22"/>
      <c r="G10" s="24"/>
      <c r="H10" s="24"/>
      <c r="I10" s="26"/>
    </row>
    <row r="11" spans="1:9" ht="15.75" thickBot="1" x14ac:dyDescent="0.3">
      <c r="A11" s="1">
        <v>44753</v>
      </c>
      <c r="B11" s="3" t="s">
        <v>5</v>
      </c>
      <c r="C11" s="3" t="s">
        <v>11</v>
      </c>
      <c r="E11" s="6"/>
      <c r="F11" s="23"/>
      <c r="G11" s="25"/>
      <c r="H11" s="25"/>
      <c r="I11" s="27"/>
    </row>
    <row r="12" spans="1:9" x14ac:dyDescent="0.25">
      <c r="A12" s="1">
        <v>44754</v>
      </c>
      <c r="B12" s="3" t="s">
        <v>5</v>
      </c>
      <c r="C12" s="3" t="s">
        <v>12</v>
      </c>
      <c r="E12" s="5"/>
      <c r="F12" s="22"/>
      <c r="G12" s="24"/>
      <c r="H12" s="24"/>
      <c r="I12" s="26"/>
    </row>
    <row r="13" spans="1:9" ht="15.75" thickBot="1" x14ac:dyDescent="0.3">
      <c r="A13" s="1">
        <v>44757</v>
      </c>
      <c r="B13" s="3" t="s">
        <v>6</v>
      </c>
      <c r="C13" s="3" t="s">
        <v>9</v>
      </c>
      <c r="D13" s="4"/>
      <c r="E13" s="6"/>
      <c r="F13" s="23"/>
      <c r="G13" s="25"/>
      <c r="H13" s="25"/>
      <c r="I13" s="27"/>
    </row>
    <row r="14" spans="1:9" x14ac:dyDescent="0.25">
      <c r="A14" s="1">
        <v>44803</v>
      </c>
      <c r="B14" s="3" t="s">
        <v>7</v>
      </c>
      <c r="C14" s="3" t="s">
        <v>12</v>
      </c>
      <c r="E14" s="5"/>
      <c r="F14" s="22"/>
      <c r="G14" s="24"/>
      <c r="H14" s="24"/>
      <c r="I14" s="26"/>
    </row>
    <row r="15" spans="1:9" ht="15.75" thickBot="1" x14ac:dyDescent="0.3">
      <c r="A15" s="1">
        <v>44863</v>
      </c>
      <c r="B15" s="3" t="s">
        <v>8</v>
      </c>
      <c r="C15" s="3" t="s">
        <v>9</v>
      </c>
      <c r="E15" s="6"/>
      <c r="F15" s="23"/>
      <c r="G15" s="25"/>
      <c r="H15" s="25"/>
      <c r="I15" s="27"/>
    </row>
    <row r="16" spans="1:9" x14ac:dyDescent="0.25">
      <c r="A16" s="1">
        <v>44755</v>
      </c>
      <c r="B16" s="2" t="s">
        <v>23</v>
      </c>
      <c r="C16" s="2" t="s">
        <v>13</v>
      </c>
      <c r="E16" s="5"/>
      <c r="F16" s="22"/>
      <c r="G16" s="24"/>
      <c r="H16" s="24"/>
      <c r="I16" s="26"/>
    </row>
    <row r="17" spans="1:9" ht="15.75" thickBot="1" x14ac:dyDescent="0.3">
      <c r="A17" s="1">
        <v>44756</v>
      </c>
      <c r="B17" s="2" t="s">
        <v>23</v>
      </c>
      <c r="C17" s="2" t="s">
        <v>14</v>
      </c>
      <c r="E17" s="6"/>
      <c r="F17" s="23"/>
      <c r="G17" s="25"/>
      <c r="H17" s="25"/>
      <c r="I17" s="27"/>
    </row>
    <row r="18" spans="1:9" x14ac:dyDescent="0.25">
      <c r="A18" s="1">
        <v>44827</v>
      </c>
      <c r="B18" s="2" t="s">
        <v>27</v>
      </c>
      <c r="C18" s="2"/>
      <c r="E18" s="5"/>
      <c r="F18" s="22"/>
      <c r="G18" s="24"/>
      <c r="H18" s="24"/>
      <c r="I18" s="26"/>
    </row>
    <row r="19" spans="1:9" ht="15.75" thickBot="1" x14ac:dyDescent="0.3">
      <c r="A19" s="1">
        <v>44881</v>
      </c>
      <c r="B19" s="31" t="s">
        <v>28</v>
      </c>
      <c r="C19" s="2"/>
      <c r="E19" s="6"/>
      <c r="F19" s="23"/>
      <c r="G19" s="25"/>
      <c r="H19" s="25"/>
      <c r="I19" s="27"/>
    </row>
    <row r="20" spans="1:9" x14ac:dyDescent="0.25">
      <c r="A20" s="1">
        <v>44882</v>
      </c>
      <c r="B20" s="31"/>
      <c r="C20" s="2"/>
      <c r="E20" s="5"/>
      <c r="F20" s="22"/>
      <c r="G20" s="24"/>
      <c r="H20" s="24"/>
      <c r="I20" s="26"/>
    </row>
    <row r="21" spans="1:9" ht="15.75" thickBot="1" x14ac:dyDescent="0.3">
      <c r="A21" s="1">
        <v>44883</v>
      </c>
      <c r="B21" s="31"/>
      <c r="C21" s="2"/>
      <c r="E21" s="6"/>
      <c r="F21" s="23"/>
      <c r="G21" s="25"/>
      <c r="H21" s="25"/>
      <c r="I21" s="27"/>
    </row>
    <row r="22" spans="1:9" x14ac:dyDescent="0.25">
      <c r="A22" s="1">
        <v>44884</v>
      </c>
      <c r="B22" s="31"/>
      <c r="C22" s="2"/>
      <c r="E22" s="5"/>
      <c r="F22" s="22"/>
      <c r="G22" s="24"/>
      <c r="H22" s="24"/>
      <c r="I22" s="26"/>
    </row>
    <row r="23" spans="1:9" ht="15.75" thickBot="1" x14ac:dyDescent="0.3">
      <c r="A23" s="1">
        <v>44885</v>
      </c>
      <c r="B23" s="31"/>
      <c r="C23" s="2"/>
      <c r="E23" s="6"/>
      <c r="F23" s="23"/>
      <c r="G23" s="25"/>
      <c r="H23" s="25"/>
      <c r="I23" s="27"/>
    </row>
    <row r="24" spans="1:9" x14ac:dyDescent="0.25">
      <c r="A24" s="1">
        <v>44886</v>
      </c>
      <c r="B24" s="31"/>
      <c r="C24" s="2"/>
      <c r="E24" s="5"/>
      <c r="F24" s="22"/>
      <c r="G24" s="24"/>
      <c r="H24" s="24"/>
      <c r="I24" s="26"/>
    </row>
    <row r="25" spans="1:9" ht="15.75" thickBot="1" x14ac:dyDescent="0.3">
      <c r="A25" s="1">
        <v>44887</v>
      </c>
      <c r="B25" s="31"/>
      <c r="C25" s="2"/>
      <c r="E25" s="6"/>
      <c r="F25" s="23"/>
      <c r="G25" s="25"/>
      <c r="H25" s="25"/>
      <c r="I25" s="27"/>
    </row>
    <row r="26" spans="1:9" x14ac:dyDescent="0.25">
      <c r="A26" s="1">
        <v>44888</v>
      </c>
      <c r="B26" s="31"/>
      <c r="C26" s="2"/>
      <c r="E26" s="5"/>
      <c r="F26" s="22"/>
      <c r="G26" s="22"/>
      <c r="H26" s="24"/>
      <c r="I26" s="26"/>
    </row>
    <row r="27" spans="1:9" ht="15.75" thickBot="1" x14ac:dyDescent="0.3">
      <c r="A27" s="1">
        <v>44889</v>
      </c>
      <c r="B27" s="31"/>
      <c r="C27" s="2"/>
      <c r="E27" s="6"/>
      <c r="F27" s="23"/>
      <c r="G27" s="23"/>
      <c r="H27" s="25"/>
      <c r="I27" s="27"/>
    </row>
    <row r="28" spans="1:9" x14ac:dyDescent="0.25">
      <c r="A28" s="1">
        <v>44890</v>
      </c>
      <c r="B28" s="31"/>
    </row>
    <row r="29" spans="1:9" x14ac:dyDescent="0.25">
      <c r="A29" s="1">
        <v>44760</v>
      </c>
      <c r="B29" s="32" t="s">
        <v>29</v>
      </c>
    </row>
    <row r="30" spans="1:9" x14ac:dyDescent="0.25">
      <c r="A30" s="1">
        <v>44761</v>
      </c>
      <c r="B30" s="32"/>
    </row>
    <row r="31" spans="1:9" x14ac:dyDescent="0.25">
      <c r="A31" s="1">
        <v>44762</v>
      </c>
      <c r="B31" s="32"/>
    </row>
    <row r="32" spans="1:9" x14ac:dyDescent="0.25">
      <c r="A32" s="1">
        <v>44763</v>
      </c>
      <c r="B32" s="32"/>
    </row>
    <row r="33" spans="1:2" x14ac:dyDescent="0.25">
      <c r="A33" s="1">
        <v>44764</v>
      </c>
      <c r="B33" s="32"/>
    </row>
    <row r="34" spans="1:2" x14ac:dyDescent="0.25">
      <c r="A34" s="1">
        <v>44765</v>
      </c>
      <c r="B34" s="32"/>
    </row>
    <row r="35" spans="1:2" x14ac:dyDescent="0.25">
      <c r="A35" s="1">
        <v>44766</v>
      </c>
      <c r="B35" s="32"/>
    </row>
    <row r="36" spans="1:2" x14ac:dyDescent="0.25">
      <c r="A36" s="1">
        <v>44767</v>
      </c>
      <c r="B36" s="32"/>
    </row>
    <row r="37" spans="1:2" x14ac:dyDescent="0.25">
      <c r="A37" s="1">
        <v>44768</v>
      </c>
      <c r="B37" s="32"/>
    </row>
    <row r="38" spans="1:2" x14ac:dyDescent="0.25">
      <c r="A38" s="1">
        <v>44769</v>
      </c>
      <c r="B38" s="32"/>
    </row>
    <row r="39" spans="1:2" x14ac:dyDescent="0.25">
      <c r="A39" s="1">
        <v>44770</v>
      </c>
      <c r="B39" s="32"/>
    </row>
    <row r="40" spans="1:2" x14ac:dyDescent="0.25">
      <c r="A40" s="1">
        <v>44771</v>
      </c>
      <c r="B40" s="32"/>
    </row>
    <row r="41" spans="1:2" x14ac:dyDescent="0.25">
      <c r="A41" s="1">
        <v>44592</v>
      </c>
      <c r="B41" s="31" t="s">
        <v>30</v>
      </c>
    </row>
    <row r="42" spans="1:2" x14ac:dyDescent="0.25">
      <c r="A42" s="1">
        <v>44593</v>
      </c>
      <c r="B42" s="31"/>
    </row>
    <row r="43" spans="1:2" x14ac:dyDescent="0.25">
      <c r="A43" s="1">
        <v>44594</v>
      </c>
      <c r="B43" s="31"/>
    </row>
    <row r="44" spans="1:2" x14ac:dyDescent="0.25">
      <c r="A44" s="1">
        <v>44595</v>
      </c>
      <c r="B44" s="31"/>
    </row>
    <row r="45" spans="1:2" x14ac:dyDescent="0.25">
      <c r="A45" s="1">
        <v>44596</v>
      </c>
      <c r="B45" s="31"/>
    </row>
    <row r="46" spans="1:2" x14ac:dyDescent="0.25">
      <c r="A46" s="1">
        <v>44788</v>
      </c>
      <c r="B46" s="32" t="s">
        <v>31</v>
      </c>
    </row>
    <row r="47" spans="1:2" x14ac:dyDescent="0.25">
      <c r="A47" s="1">
        <v>44789</v>
      </c>
      <c r="B47" s="32"/>
    </row>
    <row r="48" spans="1:2" x14ac:dyDescent="0.25">
      <c r="A48" s="1">
        <v>44790</v>
      </c>
      <c r="B48" s="32"/>
    </row>
    <row r="49" spans="1:2" x14ac:dyDescent="0.25">
      <c r="A49" s="1">
        <v>44791</v>
      </c>
      <c r="B49" s="32"/>
    </row>
    <row r="50" spans="1:2" x14ac:dyDescent="0.25">
      <c r="A50" s="1">
        <v>44792</v>
      </c>
      <c r="B50" s="32"/>
    </row>
    <row r="51" spans="1:2" x14ac:dyDescent="0.25">
      <c r="A51" s="1">
        <v>44793</v>
      </c>
      <c r="B51" s="32"/>
    </row>
    <row r="52" spans="1:2" x14ac:dyDescent="0.25">
      <c r="A52" s="1">
        <v>44794</v>
      </c>
      <c r="B52" s="32"/>
    </row>
    <row r="53" spans="1:2" x14ac:dyDescent="0.25">
      <c r="A53" s="1">
        <v>44686</v>
      </c>
      <c r="B53" s="32" t="s">
        <v>32</v>
      </c>
    </row>
    <row r="54" spans="1:2" x14ac:dyDescent="0.25">
      <c r="A54" s="1">
        <v>44687</v>
      </c>
      <c r="B54" s="32"/>
    </row>
  </sheetData>
  <mergeCells count="57">
    <mergeCell ref="F2:F3"/>
    <mergeCell ref="G2:G3"/>
    <mergeCell ref="H2:H3"/>
    <mergeCell ref="I2:I3"/>
    <mergeCell ref="F4:F5"/>
    <mergeCell ref="G4:G5"/>
    <mergeCell ref="H4:H5"/>
    <mergeCell ref="I4:I5"/>
    <mergeCell ref="F6:F7"/>
    <mergeCell ref="G6:G7"/>
    <mergeCell ref="H6:H7"/>
    <mergeCell ref="I6:I7"/>
    <mergeCell ref="F8:F9"/>
    <mergeCell ref="G8:G9"/>
    <mergeCell ref="H8:H9"/>
    <mergeCell ref="I8:I9"/>
    <mergeCell ref="F10:F11"/>
    <mergeCell ref="G10:G11"/>
    <mergeCell ref="H10:H11"/>
    <mergeCell ref="I10:I11"/>
    <mergeCell ref="F12:F13"/>
    <mergeCell ref="G12:G13"/>
    <mergeCell ref="H12:H13"/>
    <mergeCell ref="I12:I13"/>
    <mergeCell ref="F20:F21"/>
    <mergeCell ref="G20:G21"/>
    <mergeCell ref="H20:H21"/>
    <mergeCell ref="I20:I21"/>
    <mergeCell ref="F14:F15"/>
    <mergeCell ref="G14:G15"/>
    <mergeCell ref="H14:H15"/>
    <mergeCell ref="I14:I15"/>
    <mergeCell ref="F16:F17"/>
    <mergeCell ref="G16:G17"/>
    <mergeCell ref="H16:H17"/>
    <mergeCell ref="I16:I17"/>
    <mergeCell ref="H26:H27"/>
    <mergeCell ref="I26:I27"/>
    <mergeCell ref="B19:B28"/>
    <mergeCell ref="B29:B40"/>
    <mergeCell ref="F22:F23"/>
    <mergeCell ref="G22:G23"/>
    <mergeCell ref="H22:H23"/>
    <mergeCell ref="I22:I23"/>
    <mergeCell ref="F24:F25"/>
    <mergeCell ref="G24:G25"/>
    <mergeCell ref="H24:H25"/>
    <mergeCell ref="I24:I25"/>
    <mergeCell ref="F18:F19"/>
    <mergeCell ref="G18:G19"/>
    <mergeCell ref="H18:H19"/>
    <mergeCell ref="I18:I19"/>
    <mergeCell ref="B41:B45"/>
    <mergeCell ref="B46:B52"/>
    <mergeCell ref="B53:B54"/>
    <mergeCell ref="F26:F27"/>
    <mergeCell ref="G26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workbookViewId="0">
      <selection activeCell="I26" sqref="I26:I27"/>
    </sheetView>
  </sheetViews>
  <sheetFormatPr defaultRowHeight="15" x14ac:dyDescent="0.25"/>
  <cols>
    <col min="1" max="1" width="10.140625" bestFit="1" customWidth="1"/>
    <col min="2" max="2" width="10.42578125" customWidth="1"/>
    <col min="3" max="3" width="39.5703125" customWidth="1"/>
    <col min="5" max="5" width="10.140625" bestFit="1" customWidth="1"/>
    <col min="6" max="6" width="13.7109375" customWidth="1"/>
    <col min="7" max="7" width="12.140625" customWidth="1"/>
    <col min="8" max="8" width="11.85546875" customWidth="1"/>
    <col min="9" max="9" width="12.5703125" customWidth="1"/>
    <col min="10" max="10" width="12.42578125" customWidth="1"/>
  </cols>
  <sheetData>
    <row r="1" spans="1:10" ht="39" thickBot="1" x14ac:dyDescent="0.3">
      <c r="A1" s="7"/>
      <c r="B1" s="7"/>
      <c r="C1" s="7"/>
      <c r="E1" s="8"/>
      <c r="F1" s="33" t="s">
        <v>15</v>
      </c>
      <c r="G1" s="33" t="s">
        <v>16</v>
      </c>
      <c r="H1" s="33" t="s">
        <v>17</v>
      </c>
      <c r="I1" s="33" t="s">
        <v>24</v>
      </c>
      <c r="J1" s="33" t="s">
        <v>18</v>
      </c>
    </row>
    <row r="2" spans="1:10" x14ac:dyDescent="0.25">
      <c r="A2" s="13">
        <v>44927</v>
      </c>
      <c r="B2" s="12" t="s">
        <v>10</v>
      </c>
      <c r="C2" s="12" t="s">
        <v>0</v>
      </c>
      <c r="E2" s="16">
        <v>44927</v>
      </c>
      <c r="F2" s="22">
        <f>NETWORKDAYS(E2,E3,A2:A31)</f>
        <v>22</v>
      </c>
      <c r="G2" s="24">
        <f>F2*7</f>
        <v>154</v>
      </c>
      <c r="H2" s="24">
        <v>13</v>
      </c>
      <c r="I2" s="22">
        <v>6.5</v>
      </c>
      <c r="J2" s="26">
        <f t="shared" ref="J2" si="0">H2*12</f>
        <v>156</v>
      </c>
    </row>
    <row r="3" spans="1:10" ht="15.75" thickBot="1" x14ac:dyDescent="0.3">
      <c r="A3" s="14">
        <v>45037</v>
      </c>
      <c r="B3" s="15" t="s">
        <v>20</v>
      </c>
      <c r="C3" s="15" t="s">
        <v>3</v>
      </c>
      <c r="E3" s="17">
        <v>44957</v>
      </c>
      <c r="F3" s="23"/>
      <c r="G3" s="25"/>
      <c r="H3" s="25"/>
      <c r="I3" s="23"/>
      <c r="J3" s="27"/>
    </row>
    <row r="4" spans="1:10" x14ac:dyDescent="0.25">
      <c r="A4" s="13">
        <v>45038</v>
      </c>
      <c r="B4" s="12" t="s">
        <v>9</v>
      </c>
      <c r="C4" s="12" t="s">
        <v>3</v>
      </c>
      <c r="E4" s="16">
        <v>44958</v>
      </c>
      <c r="F4" s="22">
        <f>NETWORKDAYS(E4,E5,A2:A31)</f>
        <v>20</v>
      </c>
      <c r="G4" s="24">
        <f t="shared" ref="G4" si="1">F4*7</f>
        <v>140</v>
      </c>
      <c r="H4" s="24">
        <v>12</v>
      </c>
      <c r="I4" s="22">
        <v>6</v>
      </c>
      <c r="J4" s="26">
        <f t="shared" ref="J4" si="2">H4*12</f>
        <v>144</v>
      </c>
    </row>
    <row r="5" spans="1:10" ht="15.75" thickBot="1" x14ac:dyDescent="0.3">
      <c r="A5" s="13">
        <v>45039</v>
      </c>
      <c r="B5" s="12" t="s">
        <v>10</v>
      </c>
      <c r="C5" s="12" t="s">
        <v>3</v>
      </c>
      <c r="E5" s="17">
        <v>44985</v>
      </c>
      <c r="F5" s="23"/>
      <c r="G5" s="25"/>
      <c r="H5" s="25"/>
      <c r="I5" s="23"/>
      <c r="J5" s="27"/>
    </row>
    <row r="6" spans="1:10" x14ac:dyDescent="0.25">
      <c r="A6" s="13">
        <v>45039</v>
      </c>
      <c r="B6" s="12" t="s">
        <v>10</v>
      </c>
      <c r="C6" s="12" t="s">
        <v>1</v>
      </c>
      <c r="E6" s="16">
        <v>44986</v>
      </c>
      <c r="F6" s="22">
        <f>NETWORKDAYS(E6,E7,A2:A31)</f>
        <v>23</v>
      </c>
      <c r="G6" s="24">
        <f t="shared" ref="G6" si="3">F6*7</f>
        <v>161</v>
      </c>
      <c r="H6" s="24">
        <v>13</v>
      </c>
      <c r="I6" s="22">
        <v>6.5</v>
      </c>
      <c r="J6" s="26">
        <f t="shared" ref="J6" si="4">H6*12</f>
        <v>156</v>
      </c>
    </row>
    <row r="7" spans="1:10" ht="15.75" thickBot="1" x14ac:dyDescent="0.3">
      <c r="A7" s="14">
        <v>45047</v>
      </c>
      <c r="B7" s="15" t="s">
        <v>11</v>
      </c>
      <c r="C7" s="15" t="s">
        <v>2</v>
      </c>
      <c r="E7" s="17">
        <v>45016</v>
      </c>
      <c r="F7" s="23"/>
      <c r="G7" s="25"/>
      <c r="H7" s="25"/>
      <c r="I7" s="23"/>
      <c r="J7" s="27"/>
    </row>
    <row r="8" spans="1:10" x14ac:dyDescent="0.25">
      <c r="A8" s="14">
        <v>45065</v>
      </c>
      <c r="B8" s="15" t="s">
        <v>19</v>
      </c>
      <c r="C8" s="15" t="s">
        <v>4</v>
      </c>
      <c r="E8" s="16">
        <v>45017</v>
      </c>
      <c r="F8" s="22">
        <f>NETWORKDAYS(E8,E9,A2:A31)</f>
        <v>19</v>
      </c>
      <c r="G8" s="24">
        <f t="shared" ref="G8" si="5">F8*7</f>
        <v>133</v>
      </c>
      <c r="H8" s="24">
        <v>11</v>
      </c>
      <c r="I8" s="22">
        <v>5.5</v>
      </c>
      <c r="J8" s="26">
        <f t="shared" ref="J8" si="6">H8*12</f>
        <v>132</v>
      </c>
    </row>
    <row r="9" spans="1:10" ht="15.75" thickBot="1" x14ac:dyDescent="0.3">
      <c r="A9" s="14">
        <v>45105</v>
      </c>
      <c r="B9" s="15" t="s">
        <v>21</v>
      </c>
      <c r="C9" s="15" t="s">
        <v>5</v>
      </c>
      <c r="E9" s="17">
        <v>45046</v>
      </c>
      <c r="F9" s="23"/>
      <c r="G9" s="25"/>
      <c r="H9" s="25"/>
      <c r="I9" s="23"/>
      <c r="J9" s="27"/>
    </row>
    <row r="10" spans="1:10" x14ac:dyDescent="0.25">
      <c r="A10" s="14">
        <v>45106</v>
      </c>
      <c r="B10" s="15" t="s">
        <v>14</v>
      </c>
      <c r="C10" s="15" t="s">
        <v>5</v>
      </c>
      <c r="E10" s="16">
        <v>45047</v>
      </c>
      <c r="F10" s="22">
        <f>NETWORKDAYS(E10,E11,A2:A31)</f>
        <v>21</v>
      </c>
      <c r="G10" s="24">
        <f t="shared" ref="G10" si="7">F10*7</f>
        <v>147</v>
      </c>
      <c r="H10" s="24">
        <v>12</v>
      </c>
      <c r="I10" s="22">
        <v>6</v>
      </c>
      <c r="J10" s="26">
        <f t="shared" ref="J10" si="8">H10*12</f>
        <v>144</v>
      </c>
    </row>
    <row r="11" spans="1:10" ht="15.75" thickBot="1" x14ac:dyDescent="0.3">
      <c r="A11" s="14">
        <v>45107</v>
      </c>
      <c r="B11" s="15" t="s">
        <v>19</v>
      </c>
      <c r="C11" s="15" t="s">
        <v>5</v>
      </c>
      <c r="E11" s="17">
        <v>45077</v>
      </c>
      <c r="F11" s="23"/>
      <c r="G11" s="25"/>
      <c r="H11" s="25"/>
      <c r="I11" s="23"/>
      <c r="J11" s="27"/>
    </row>
    <row r="12" spans="1:10" x14ac:dyDescent="0.25">
      <c r="A12" s="13">
        <v>45108</v>
      </c>
      <c r="B12" s="12" t="s">
        <v>9</v>
      </c>
      <c r="C12" s="12" t="s">
        <v>5</v>
      </c>
      <c r="E12" s="16">
        <v>45078</v>
      </c>
      <c r="F12" s="22">
        <f>NETWORKDAYS(E12,E13,A2:A31)</f>
        <v>17</v>
      </c>
      <c r="G12" s="24">
        <f t="shared" ref="G12" si="9">F12*7</f>
        <v>119</v>
      </c>
      <c r="H12" s="24">
        <v>10</v>
      </c>
      <c r="I12" s="22">
        <v>5</v>
      </c>
      <c r="J12" s="26">
        <f t="shared" ref="J12" si="10">H12*12</f>
        <v>120</v>
      </c>
    </row>
    <row r="13" spans="1:10" ht="15.75" thickBot="1" x14ac:dyDescent="0.3">
      <c r="A13" s="13">
        <v>45122</v>
      </c>
      <c r="B13" s="12" t="s">
        <v>9</v>
      </c>
      <c r="C13" s="12" t="s">
        <v>6</v>
      </c>
      <c r="E13" s="17">
        <v>45107</v>
      </c>
      <c r="F13" s="23"/>
      <c r="G13" s="25"/>
      <c r="H13" s="25"/>
      <c r="I13" s="23"/>
      <c r="J13" s="27"/>
    </row>
    <row r="14" spans="1:10" x14ac:dyDescent="0.25">
      <c r="A14" s="14">
        <v>45168</v>
      </c>
      <c r="B14" s="15" t="s">
        <v>13</v>
      </c>
      <c r="C14" s="15" t="s">
        <v>7</v>
      </c>
      <c r="E14" s="16">
        <v>45108</v>
      </c>
      <c r="F14" s="22">
        <f>NETWORKDAYS(E14,E15,A2:A31)</f>
        <v>21</v>
      </c>
      <c r="G14" s="24">
        <f t="shared" ref="G14" si="11">F14*7</f>
        <v>147</v>
      </c>
      <c r="H14" s="24">
        <v>12</v>
      </c>
      <c r="I14" s="22">
        <v>6</v>
      </c>
      <c r="J14" s="26">
        <f>H14*12</f>
        <v>144</v>
      </c>
    </row>
    <row r="15" spans="1:10" ht="15.75" thickBot="1" x14ac:dyDescent="0.3">
      <c r="A15" s="13">
        <v>45228</v>
      </c>
      <c r="B15" s="12" t="s">
        <v>10</v>
      </c>
      <c r="C15" s="12" t="s">
        <v>8</v>
      </c>
      <c r="E15" s="17">
        <v>45138</v>
      </c>
      <c r="F15" s="23"/>
      <c r="G15" s="25"/>
      <c r="H15" s="25"/>
      <c r="I15" s="23"/>
      <c r="J15" s="27"/>
    </row>
    <row r="16" spans="1:10" x14ac:dyDescent="0.25">
      <c r="A16" s="18">
        <v>45103</v>
      </c>
      <c r="B16" s="19" t="s">
        <v>11</v>
      </c>
      <c r="C16" s="19" t="s">
        <v>26</v>
      </c>
      <c r="E16" s="16">
        <v>45139</v>
      </c>
      <c r="F16" s="22">
        <f>NETWORKDAYS(E16,E17,A2:A31)</f>
        <v>22</v>
      </c>
      <c r="G16" s="24">
        <f t="shared" ref="G16" si="12">F16*7</f>
        <v>154</v>
      </c>
      <c r="H16" s="24">
        <v>13</v>
      </c>
      <c r="I16" s="22">
        <v>6.5</v>
      </c>
      <c r="J16" s="26">
        <f t="shared" ref="J16" si="13">H16*12</f>
        <v>156</v>
      </c>
    </row>
    <row r="17" spans="1:10" ht="15.75" thickBot="1" x14ac:dyDescent="0.3">
      <c r="A17" s="18">
        <v>45104</v>
      </c>
      <c r="B17" s="19" t="s">
        <v>12</v>
      </c>
      <c r="C17" s="19" t="s">
        <v>25</v>
      </c>
      <c r="E17" s="17">
        <v>45169</v>
      </c>
      <c r="F17" s="23"/>
      <c r="G17" s="25"/>
      <c r="H17" s="25"/>
      <c r="I17" s="23"/>
      <c r="J17" s="27"/>
    </row>
    <row r="18" spans="1:10" x14ac:dyDescent="0.25">
      <c r="A18" s="1"/>
      <c r="E18" s="16">
        <v>45170</v>
      </c>
      <c r="F18" s="22">
        <f>NETWORKDAYS(E18,E19,A2:A31)</f>
        <v>21</v>
      </c>
      <c r="G18" s="24">
        <f t="shared" ref="G18" si="14">F18*7</f>
        <v>147</v>
      </c>
      <c r="H18" s="24">
        <v>12</v>
      </c>
      <c r="I18" s="22">
        <v>6</v>
      </c>
      <c r="J18" s="26">
        <f t="shared" ref="J18" si="15">H18*12</f>
        <v>144</v>
      </c>
    </row>
    <row r="19" spans="1:10" ht="15.75" thickBot="1" x14ac:dyDescent="0.3">
      <c r="E19" s="17">
        <v>45199</v>
      </c>
      <c r="F19" s="23"/>
      <c r="G19" s="25"/>
      <c r="H19" s="25"/>
      <c r="I19" s="23"/>
      <c r="J19" s="27"/>
    </row>
    <row r="20" spans="1:10" x14ac:dyDescent="0.25">
      <c r="E20" s="16">
        <v>45200</v>
      </c>
      <c r="F20" s="22">
        <f>NETWORKDAYS(E20,E21,A2:A31)</f>
        <v>22</v>
      </c>
      <c r="G20" s="24">
        <f t="shared" ref="G20" si="16">F20*7</f>
        <v>154</v>
      </c>
      <c r="H20" s="24">
        <v>13</v>
      </c>
      <c r="I20" s="22">
        <v>6.5</v>
      </c>
      <c r="J20" s="26">
        <f t="shared" ref="J20" si="17">H20*12</f>
        <v>156</v>
      </c>
    </row>
    <row r="21" spans="1:10" ht="15.75" thickBot="1" x14ac:dyDescent="0.3">
      <c r="E21" s="17">
        <v>45230</v>
      </c>
      <c r="F21" s="23"/>
      <c r="G21" s="25"/>
      <c r="H21" s="25"/>
      <c r="I21" s="23"/>
      <c r="J21" s="27"/>
    </row>
    <row r="22" spans="1:10" x14ac:dyDescent="0.25">
      <c r="E22" s="16">
        <v>45231</v>
      </c>
      <c r="F22" s="22">
        <f>NETWORKDAYS(E22,E23,A2:A31)</f>
        <v>22</v>
      </c>
      <c r="G22" s="24">
        <f t="shared" ref="G22" si="18">F22*7</f>
        <v>154</v>
      </c>
      <c r="H22" s="24">
        <v>13</v>
      </c>
      <c r="I22" s="22">
        <v>6.5</v>
      </c>
      <c r="J22" s="26">
        <f t="shared" ref="J22" si="19">H22*12</f>
        <v>156</v>
      </c>
    </row>
    <row r="23" spans="1:10" ht="15.75" thickBot="1" x14ac:dyDescent="0.3">
      <c r="E23" s="17">
        <v>45260</v>
      </c>
      <c r="F23" s="23"/>
      <c r="G23" s="25"/>
      <c r="H23" s="25"/>
      <c r="I23" s="23"/>
      <c r="J23" s="27"/>
    </row>
    <row r="24" spans="1:10" x14ac:dyDescent="0.25">
      <c r="E24" s="16">
        <v>45261</v>
      </c>
      <c r="F24" s="22">
        <f>NETWORKDAYS(E24,E25,A2:A31)</f>
        <v>21</v>
      </c>
      <c r="G24" s="24">
        <f t="shared" ref="G24" si="20">F24*7</f>
        <v>147</v>
      </c>
      <c r="H24" s="24">
        <v>12</v>
      </c>
      <c r="I24" s="22">
        <v>6</v>
      </c>
      <c r="J24" s="26">
        <f t="shared" ref="J24" si="21">H24*12</f>
        <v>144</v>
      </c>
    </row>
    <row r="25" spans="1:10" ht="15.75" thickBot="1" x14ac:dyDescent="0.3">
      <c r="E25" s="17">
        <v>45291</v>
      </c>
      <c r="F25" s="23"/>
      <c r="G25" s="25"/>
      <c r="H25" s="25"/>
      <c r="I25" s="23"/>
      <c r="J25" s="27"/>
    </row>
    <row r="26" spans="1:10" x14ac:dyDescent="0.25">
      <c r="E26" s="20" t="s">
        <v>22</v>
      </c>
      <c r="F26" s="22">
        <f>SUM(F2:F25)</f>
        <v>251</v>
      </c>
      <c r="G26" s="22">
        <f>SUM(G2:G25)</f>
        <v>1757</v>
      </c>
      <c r="H26" s="24">
        <f>SUM(H2:H25)</f>
        <v>146</v>
      </c>
      <c r="I26" s="24">
        <f>SUM(I2:I25)</f>
        <v>73</v>
      </c>
      <c r="J26" s="26">
        <f>H26*12</f>
        <v>1752</v>
      </c>
    </row>
    <row r="27" spans="1:10" ht="15.75" thickBot="1" x14ac:dyDescent="0.3">
      <c r="E27" s="21"/>
      <c r="F27" s="23"/>
      <c r="G27" s="23"/>
      <c r="H27" s="25"/>
      <c r="I27" s="25"/>
      <c r="J27" s="27"/>
    </row>
  </sheetData>
  <mergeCells count="66">
    <mergeCell ref="G26:G27"/>
    <mergeCell ref="H26:H27"/>
    <mergeCell ref="J26:J27"/>
    <mergeCell ref="G22:G23"/>
    <mergeCell ref="H22:H23"/>
    <mergeCell ref="J22:J23"/>
    <mergeCell ref="G24:G25"/>
    <mergeCell ref="H24:H25"/>
    <mergeCell ref="J24:J25"/>
    <mergeCell ref="I22:I23"/>
    <mergeCell ref="I24:I25"/>
    <mergeCell ref="I26:I27"/>
    <mergeCell ref="G18:G19"/>
    <mergeCell ref="H18:H19"/>
    <mergeCell ref="J18:J19"/>
    <mergeCell ref="G20:G21"/>
    <mergeCell ref="H20:H21"/>
    <mergeCell ref="J20:J21"/>
    <mergeCell ref="I18:I19"/>
    <mergeCell ref="I20:I21"/>
    <mergeCell ref="G14:G15"/>
    <mergeCell ref="H14:H15"/>
    <mergeCell ref="J14:J15"/>
    <mergeCell ref="G16:G17"/>
    <mergeCell ref="H16:H17"/>
    <mergeCell ref="J16:J17"/>
    <mergeCell ref="I14:I15"/>
    <mergeCell ref="I16:I17"/>
    <mergeCell ref="G10:G11"/>
    <mergeCell ref="H10:H11"/>
    <mergeCell ref="J10:J11"/>
    <mergeCell ref="G12:G13"/>
    <mergeCell ref="H12:H13"/>
    <mergeCell ref="J12:J13"/>
    <mergeCell ref="I10:I11"/>
    <mergeCell ref="I12:I13"/>
    <mergeCell ref="G6:G7"/>
    <mergeCell ref="H6:H7"/>
    <mergeCell ref="J6:J7"/>
    <mergeCell ref="G8:G9"/>
    <mergeCell ref="H8:H9"/>
    <mergeCell ref="J8:J9"/>
    <mergeCell ref="I6:I7"/>
    <mergeCell ref="I8:I9"/>
    <mergeCell ref="G2:G3"/>
    <mergeCell ref="H2:H3"/>
    <mergeCell ref="J2:J3"/>
    <mergeCell ref="G4:G5"/>
    <mergeCell ref="H4:H5"/>
    <mergeCell ref="J4:J5"/>
    <mergeCell ref="I2:I3"/>
    <mergeCell ref="I4:I5"/>
    <mergeCell ref="E26:E27"/>
    <mergeCell ref="F26:F27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</vt:lpstr>
      <vt:lpstr>Sayfa1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Eylül Kevser Kara</dc:creator>
  <cp:lastModifiedBy>Radyoloji Tekniker</cp:lastModifiedBy>
  <dcterms:created xsi:type="dcterms:W3CDTF">2022-06-14T11:38:33Z</dcterms:created>
  <dcterms:modified xsi:type="dcterms:W3CDTF">2026-04-16T20:41:16Z</dcterms:modified>
</cp:coreProperties>
</file>